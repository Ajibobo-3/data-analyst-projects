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atundeolasunkanmi/Desktop/Tunde_Visuals/Data Analysis/"/>
    </mc:Choice>
  </mc:AlternateContent>
  <xr:revisionPtr revIDLastSave="0" documentId="13_ncr:1_{0DF9F4AB-191F-E843-8AD6-8D7E421C8772}" xr6:coauthVersionLast="47" xr6:coauthVersionMax="47" xr10:uidLastSave="{00000000-0000-0000-0000-000000000000}"/>
  <bookViews>
    <workbookView xWindow="0" yWindow="780" windowWidth="34200" windowHeight="19920" activeTab="1" xr2:uid="{00000000-000D-0000-FFFF-FFFF00000000}"/>
  </bookViews>
  <sheets>
    <sheet name="Sheet1" sheetId="2" r:id="rId1"/>
    <sheet name="Sheet2" sheetId="3" r:id="rId2"/>
    <sheet name="Playground Data" sheetId="1" r:id="rId3"/>
  </sheets>
  <calcPr calcId="191029" iterateDelta="9.9999999999999995E-7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6" i="1"/>
  <c r="G38" i="1"/>
  <c r="G18" i="1"/>
  <c r="G14" i="1"/>
  <c r="G33" i="1"/>
  <c r="G19" i="1"/>
  <c r="G35" i="1"/>
  <c r="G22" i="1"/>
  <c r="G34" i="1"/>
  <c r="G6" i="1"/>
  <c r="G37" i="1"/>
  <c r="G7" i="1"/>
  <c r="G16" i="1"/>
  <c r="G27" i="1"/>
  <c r="G44" i="1"/>
  <c r="G21" i="1"/>
  <c r="G29" i="1"/>
  <c r="G42" i="1"/>
  <c r="G36" i="1"/>
  <c r="G43" i="1"/>
  <c r="G11" i="1"/>
  <c r="G17" i="1"/>
  <c r="G8" i="1"/>
  <c r="G5" i="1"/>
  <c r="G28" i="1"/>
  <c r="G9" i="1"/>
  <c r="G15" i="1"/>
  <c r="G13" i="1"/>
  <c r="G30" i="1"/>
  <c r="G40" i="1"/>
  <c r="G39" i="1"/>
  <c r="G41" i="1"/>
  <c r="G20" i="1"/>
  <c r="G25" i="1"/>
  <c r="G31" i="1"/>
  <c r="G24" i="1"/>
  <c r="G4" i="1"/>
  <c r="G10" i="1"/>
  <c r="G12" i="1"/>
  <c r="G32" i="1"/>
  <c r="J6" i="1" l="1"/>
  <c r="K6" i="1" s="1"/>
  <c r="J30" i="1"/>
  <c r="K30" i="1" s="1"/>
  <c r="J13" i="1"/>
  <c r="K13" i="1" s="1"/>
  <c r="J34" i="1"/>
  <c r="K34" i="1" s="1"/>
  <c r="J12" i="1"/>
  <c r="K12" i="1" s="1"/>
  <c r="J10" i="1"/>
  <c r="K10" i="1" s="1"/>
  <c r="J29" i="1"/>
  <c r="K29" i="1" s="1"/>
  <c r="J4" i="1"/>
  <c r="K4" i="1" s="1"/>
  <c r="J22" i="1"/>
  <c r="K22" i="1" s="1"/>
  <c r="J15" i="1" l="1"/>
  <c r="K15" i="1" s="1"/>
  <c r="J9" i="1"/>
  <c r="K9" i="1" s="1"/>
  <c r="J28" i="1"/>
  <c r="K28" i="1" s="1"/>
  <c r="J35" i="1"/>
  <c r="K35" i="1" s="1"/>
  <c r="J24" i="1"/>
  <c r="K24" i="1" s="1"/>
  <c r="J21" i="1"/>
  <c r="K21" i="1" s="1"/>
  <c r="J5" i="1"/>
  <c r="K5" i="1" s="1"/>
  <c r="J19" i="1"/>
  <c r="K19" i="1" s="1"/>
  <c r="J31" i="1"/>
  <c r="K31" i="1" s="1"/>
  <c r="J44" i="1"/>
  <c r="K44" i="1" s="1"/>
  <c r="J33" i="1"/>
  <c r="K33" i="1" s="1"/>
  <c r="J25" i="1"/>
  <c r="K25" i="1" s="1"/>
  <c r="J8" i="1"/>
  <c r="K8" i="1" s="1"/>
  <c r="J17" i="1"/>
  <c r="K17" i="1" s="1"/>
  <c r="J14" i="1"/>
  <c r="K14" i="1" s="1"/>
  <c r="J27" i="1"/>
  <c r="K27" i="1" s="1"/>
  <c r="J16" i="1"/>
  <c r="K16" i="1" s="1"/>
  <c r="J18" i="1"/>
  <c r="K18" i="1" s="1"/>
  <c r="J20" i="1"/>
  <c r="K20" i="1" s="1"/>
  <c r="J11" i="1"/>
  <c r="K11" i="1" s="1"/>
  <c r="J41" i="1"/>
  <c r="K41" i="1" s="1"/>
  <c r="J39" i="1"/>
  <c r="K39" i="1" s="1"/>
  <c r="J38" i="1"/>
  <c r="K38" i="1" s="1"/>
  <c r="J26" i="1"/>
  <c r="K26" i="1" s="1"/>
  <c r="J7" i="1"/>
  <c r="K7" i="1" s="1"/>
  <c r="J42" i="1"/>
  <c r="J37" i="1"/>
  <c r="J40" i="1"/>
  <c r="J23" i="1"/>
  <c r="K23" i="1" s="1"/>
  <c r="J36" i="1"/>
  <c r="K36" i="1" s="1"/>
  <c r="J43" i="1"/>
  <c r="K43" i="1" s="1"/>
  <c r="J32" i="1"/>
  <c r="K40" i="1" l="1"/>
  <c r="K42" i="1"/>
  <c r="K37" i="1"/>
  <c r="K32" i="1"/>
</calcChain>
</file>

<file path=xl/sharedStrings.xml><?xml version="1.0" encoding="utf-8"?>
<sst xmlns="http://schemas.openxmlformats.org/spreadsheetml/2006/main" count="151" uniqueCount="103">
  <si>
    <t>Playground Safety Checks</t>
  </si>
  <si>
    <t>Swings</t>
  </si>
  <si>
    <t>Slides</t>
  </si>
  <si>
    <t>Overall Result</t>
  </si>
  <si>
    <t>Rocker</t>
  </si>
  <si>
    <t>Site Location</t>
  </si>
  <si>
    <t>Site Code</t>
  </si>
  <si>
    <t>B81/222</t>
  </si>
  <si>
    <t>B54/871</t>
  </si>
  <si>
    <t>B54/889</t>
  </si>
  <si>
    <t>B81/156</t>
  </si>
  <si>
    <t>B81/157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</si>
  <si>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</si>
  <si>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</si>
  <si>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</si>
  <si>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</si>
  <si>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</si>
  <si>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</si>
  <si>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</si>
  <si>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B54/887</t>
  </si>
  <si>
    <t>B21/190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</si>
  <si>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</si>
  <si>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</si>
  <si>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</si>
  <si>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</si>
  <si>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</si>
  <si>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</si>
  <si>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</si>
  <si>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</si>
  <si>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</si>
  <si>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</si>
  <si>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</si>
  <si>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</si>
  <si>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</si>
  <si>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</si>
  <si>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</si>
  <si>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</si>
  <si>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</si>
  <si>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</si>
  <si>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</si>
  <si>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</si>
  <si>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</si>
  <si>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</si>
  <si>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</si>
  <si>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</si>
  <si>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</si>
  <si>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</si>
  <si>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</si>
  <si>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</si>
  <si>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</si>
  <si>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</si>
  <si>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</si>
  <si>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</si>
  <si>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Grange View, BB16 8FT</t>
  </si>
  <si>
    <t>Hope Valley, BB19 8MK</t>
  </si>
  <si>
    <t>B05/221</t>
  </si>
  <si>
    <t>Carlisle Walk, BB33 9HH</t>
  </si>
  <si>
    <t>Herring Drive, BB15 6FF</t>
  </si>
  <si>
    <t>Burnage Close, BB6 8SD</t>
  </si>
  <si>
    <t>Golden Park, BB21 5RD</t>
  </si>
  <si>
    <t>Turley Road, BB38 3EW</t>
  </si>
  <si>
    <t>Winners Lane, BB31 8HJ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</si>
  <si>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</si>
  <si>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</si>
  <si>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</si>
  <si>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</si>
  <si>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</si>
  <si>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</si>
  <si>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</si>
  <si>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B65/878</t>
  </si>
  <si>
    <t>B16/113</t>
  </si>
  <si>
    <t>B16/189</t>
  </si>
  <si>
    <t>B21/881</t>
  </si>
  <si>
    <t>B21/111</t>
  </si>
  <si>
    <t>B54/885</t>
  </si>
  <si>
    <t>B54/987</t>
  </si>
  <si>
    <t>B65/991</t>
  </si>
  <si>
    <t>B65/997</t>
  </si>
  <si>
    <t>B21/128</t>
  </si>
  <si>
    <t>B21/224</t>
  </si>
  <si>
    <t>B21/346</t>
  </si>
  <si>
    <t>B81/755</t>
  </si>
  <si>
    <t>B81/756</t>
  </si>
  <si>
    <t>B81/771</t>
  </si>
  <si>
    <t>B81/777</t>
  </si>
  <si>
    <t>B65/756</t>
  </si>
  <si>
    <t>B65/757</t>
  </si>
  <si>
    <t>B05/112</t>
  </si>
  <si>
    <t>B05/115</t>
  </si>
  <si>
    <t>B05/131</t>
  </si>
  <si>
    <t>B05/134</t>
  </si>
  <si>
    <t>B05/135</t>
  </si>
  <si>
    <t>B05/234</t>
  </si>
  <si>
    <t>B05/341</t>
  </si>
  <si>
    <t>B65/870</t>
  </si>
  <si>
    <t>B65/871</t>
  </si>
  <si>
    <t>B65/872</t>
  </si>
  <si>
    <t>B65/993</t>
  </si>
  <si>
    <t>(All)</t>
  </si>
  <si>
    <t>Count of Days til next check</t>
  </si>
  <si>
    <t>Row Labels</t>
  </si>
  <si>
    <t>Grand Total</t>
  </si>
  <si>
    <t>Sum of Days til next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</si>
</sst>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atunde Olasunkanmi" refreshedDate="46219.632382754629" createdVersion="8" refreshedVersion="8" minRefreshableVersion="3" recordCount="41" xr:uid="{EF529362-F377-694F-9D9F-20F8F6E2A6E1}">
  <cacheSource type="worksheet">
    <worksheetSource ref="A3:K44" sheet="Playground Data"/>
  </cacheSource>
  <cacheFields count="11">
    <cacheField name="Site Code" numFmtId="0">
      <sharedItems count="41">
        <s v="B05/112"/>
        <s v="B05/115"/>
        <s v="B05/131"/>
        <s v="B05/134"/>
        <s v="B05/135"/>
        <s v="B05/203"/>
        <s v="B05/221"/>
        <s v="B05/234"/>
        <s v="B05/341"/>
        <s v="B16/113"/>
        <s v="B16/189"/>
        <s v="B16/442"/>
        <s v="B21/111"/>
        <s v="B21/128"/>
        <s v="B21/188"/>
        <s v="B21/190"/>
        <s v="B21/224"/>
        <s v="B21/346"/>
        <s v="B21/881"/>
        <s v="B54/871"/>
        <s v="B54/885"/>
        <s v="B54/887"/>
        <s v="B54/889"/>
        <s v="B54/987"/>
        <s v="B65/131"/>
        <s v="B65/756"/>
        <s v="B65/757"/>
        <s v="B65/870"/>
        <s v="B65/871"/>
        <s v="B65/872"/>
        <s v="B65/878"/>
        <s v="B65/991"/>
        <s v="B65/993"/>
        <s v="B65/997"/>
        <s v="B81/156"/>
        <s v="B81/157"/>
        <s v="B81/222"/>
        <s v="B81/755"/>
        <s v="B81/756"/>
        <s v="B81/771"/>
        <s v="B81/777"/>
      </sharedItems>
    </cacheField>
    <cacheField name="Site Location" numFmtId="0">
      <sharedItems count="41">
        <s v="Hope Valley, BB19 8MK"/>
        <s v="Yarrow Water Park, BB46 2EW"/>
        <s v="Edgely Lane, BB2 7FY"/>
        <s v="Rivington Drive, BB19 1JY"/>
        <s v="Vimto Raod, BB21 3AZ"/>
        <s v="Robin Walk, BB9 3WS"/>
        <s v="Herring Drive, BB15 6FF"/>
        <s v="Flowery Fields, BB5 9KH"/>
        <s v="Burnage Close, BB6 8SD"/>
        <s v="Turley Road, BB38 3EW"/>
        <s v="Davinia Drive, BB1 3DS"/>
        <s v="High Lane, BB27 5TY"/>
        <s v="Darley Dale Walk, BB19 7DF"/>
        <s v="Harrop Fields, BB23 6CX"/>
        <s v="Trueman Crescent, BB11 7HH"/>
        <s v="Pines Close, BB47 7XX"/>
        <s v="Bradford Close, BB31 8FT"/>
        <s v="Finchley Road, BB31 9JJ"/>
        <s v="Grange View, BB16 8FT"/>
        <s v="Howards Park, BB27 8NB"/>
        <s v="Wright Raod, BB13 7GG"/>
        <s v="Barley Close, BB12 9PY"/>
        <s v="Leyton Drive, BB7 6CV"/>
        <s v="Flinstone Drive, BB2 8KS"/>
        <s v="Elton Close, BB12 6DS"/>
        <s v="Carlisle Walk, BB33 9HH"/>
        <s v="Winners Lane, BB31 8HJ"/>
        <s v="Yates Walk, BB19 9FT"/>
        <s v="Beaufort Gardens, BB8 9HG"/>
        <s v="Marton Raod, BB17 4YU"/>
        <s v="Golden Park, BB21 5RD"/>
        <s v="Thorpe Park, BB11 9JB"/>
        <s v="Poppy Close, BB18 9HH"/>
        <s v="Emily Lane, BB39 2WD"/>
        <s v="Gibble Gabble, BB26 4ED"/>
        <s v="Langley Road, BB16 5XD"/>
        <s v="Grange Fields BB9 1HY"/>
        <s v="Arlington Close, BB9 7SD"/>
        <s v="Church Fold, BB6 7FF"/>
        <s v="Ribble Gardens, BB4 7FG"/>
        <s v="Kielder Drive, BB14 2QW"/>
      </sharedItems>
    </cacheField>
    <cacheField name="Site Type" numFmtId="0">
      <sharedItems count="4">
        <s v="Toddlers"/>
        <s v="Sand"/>
        <s v="Adventure"/>
        <s v="Mixed"/>
      </sharedItems>
    </cacheField>
    <cacheField name="Swings" numFmtId="0">
      <sharedItems containsSemiMixedTypes="0" containsString="0" containsNumber="1" containsInteger="1" minValue="5" maxValue="9"/>
    </cacheField>
    <cacheField name="Slides" numFmtId="0">
      <sharedItems containsSemiMixedTypes="0" containsString="0" containsNumber="1" containsInteger="1" minValue="4" maxValue="9"/>
    </cacheField>
    <cacheField name="Rocker" numFmtId="0">
      <sharedItems containsSemiMixedTypes="0" containsString="0" containsNumber="1" containsInteger="1" minValue="4" maxValue="9"/>
    </cacheField>
    <cacheField name="Overall Result" numFmtId="0">
      <sharedItems count="2">
        <s v="Pass"/>
        <s v="Fail"/>
      </sharedItems>
    </cacheField>
    <cacheField name="Last Check Date" numFmtId="14">
      <sharedItems containsSemiMixedTypes="0" containsNonDate="0" containsDate="1" containsString="0" minDate="2022-12-03T00:00:00" maxDate="2023-07-28T00:00:00"/>
    </cacheField>
    <cacheField name="Next Check Due" numFmtId="14">
      <sharedItems containsSemiMixedTypes="0" containsNonDate="0" containsDate="1" containsString="0" minDate="2023-06-07T00:00:00" maxDate="2024-01-30T00:00:00" count="35">
        <d v="2023-12-27T00:00:00"/>
        <d v="2023-10-18T00:00:00"/>
        <d v="2023-06-15T00:00:00"/>
        <d v="2024-01-29T00:00:00"/>
        <d v="2023-09-05T00:00:00"/>
        <d v="2024-01-13T00:00:00"/>
        <d v="2023-09-12T00:00:00"/>
        <d v="2023-09-08T00:00:00"/>
        <d v="2023-11-24T00:00:00"/>
        <d v="2023-12-18T00:00:00"/>
        <d v="2024-01-03T00:00:00"/>
        <d v="2023-11-17T00:00:00"/>
        <d v="2023-08-10T00:00:00"/>
        <d v="2023-10-24T00:00:00"/>
        <d v="2023-09-25T00:00:00"/>
        <d v="2023-12-07T00:00:00"/>
        <d v="2023-09-18T00:00:00"/>
        <d v="2023-09-30T00:00:00"/>
        <d v="2023-12-13T00:00:00"/>
        <d v="2023-12-25T00:00:00"/>
        <d v="2023-06-07T00:00:00"/>
        <d v="2023-09-20T00:00:00"/>
        <d v="2023-09-04T00:00:00"/>
        <d v="2023-11-05T00:00:00"/>
        <d v="2023-08-13T00:00:00"/>
        <d v="2024-01-14T00:00:00"/>
        <d v="2023-11-12T00:00:00"/>
        <d v="2023-10-16T00:00:00"/>
        <d v="2023-07-21T00:00:00"/>
        <d v="2023-08-06T00:00:00"/>
        <d v="2023-07-08T00:00:00"/>
        <d v="2023-11-03T00:00:00"/>
        <d v="2023-12-19T00:00:00"/>
        <d v="2023-10-01T00:00:00"/>
        <d v="2024-01-11T00:00:00"/>
      </sharedItems>
    </cacheField>
    <cacheField name="Days til next check" numFmtId="0">
      <sharedItems containsSemiMixedTypes="0" containsString="0" containsNumber="1" containsInteger="1" minValue="-1134" maxValue="-898" count="35">
        <n v="-931"/>
        <n v="-1001"/>
        <n v="-1126"/>
        <n v="-898"/>
        <n v="-1044"/>
        <n v="-914"/>
        <n v="-1037"/>
        <n v="-1041"/>
        <n v="-964"/>
        <n v="-940"/>
        <n v="-924"/>
        <n v="-971"/>
        <n v="-1070"/>
        <n v="-995"/>
        <n v="-1024"/>
        <n v="-951"/>
        <n v="-1031"/>
        <n v="-1019"/>
        <n v="-945"/>
        <n v="-933"/>
        <n v="-1134"/>
        <n v="-1029"/>
        <n v="-1045"/>
        <n v="-983"/>
        <n v="-1067"/>
        <n v="-913"/>
        <n v="-976"/>
        <n v="-1003"/>
        <n v="-1090"/>
        <n v="-1074"/>
        <n v="-1103"/>
        <n v="-985"/>
        <n v="-939"/>
        <n v="-1018"/>
        <n v="-916"/>
      </sharedItems>
    </cacheField>
    <cacheField name="Overdue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x v="0"/>
    <n v="8"/>
    <n v="8"/>
    <n v="8"/>
    <x v="0"/>
    <d v="2023-06-24T00:00:00"/>
    <x v="0"/>
    <x v="0"/>
    <s v="Overdue"/>
  </r>
  <r>
    <x v="1"/>
    <x v="1"/>
    <x v="1"/>
    <n v="8"/>
    <n v="9"/>
    <n v="8"/>
    <x v="0"/>
    <d v="2023-04-15T00:00:00"/>
    <x v="1"/>
    <x v="1"/>
    <s v="Overdue"/>
  </r>
  <r>
    <x v="2"/>
    <x v="2"/>
    <x v="2"/>
    <n v="8"/>
    <n v="9"/>
    <n v="8"/>
    <x v="0"/>
    <d v="2022-12-11T00:00:00"/>
    <x v="2"/>
    <x v="2"/>
    <s v="Overdue"/>
  </r>
  <r>
    <x v="3"/>
    <x v="3"/>
    <x v="3"/>
    <n v="7"/>
    <n v="6"/>
    <n v="7"/>
    <x v="1"/>
    <d v="2023-07-27T00:00:00"/>
    <x v="3"/>
    <x v="3"/>
    <s v="Overdue"/>
  </r>
  <r>
    <x v="4"/>
    <x v="4"/>
    <x v="1"/>
    <n v="7"/>
    <n v="7"/>
    <n v="8"/>
    <x v="0"/>
    <d v="2023-03-03T00:00:00"/>
    <x v="4"/>
    <x v="4"/>
    <s v="Overdue"/>
  </r>
  <r>
    <x v="5"/>
    <x v="5"/>
    <x v="1"/>
    <n v="8"/>
    <n v="9"/>
    <n v="8"/>
    <x v="0"/>
    <d v="2023-07-11T00:00:00"/>
    <x v="5"/>
    <x v="5"/>
    <s v="Overdue"/>
  </r>
  <r>
    <x v="6"/>
    <x v="6"/>
    <x v="0"/>
    <n v="6"/>
    <n v="8"/>
    <n v="7"/>
    <x v="1"/>
    <d v="2023-03-10T00:00:00"/>
    <x v="6"/>
    <x v="6"/>
    <s v="Overdue"/>
  </r>
  <r>
    <x v="7"/>
    <x v="7"/>
    <x v="1"/>
    <n v="9"/>
    <n v="7"/>
    <n v="9"/>
    <x v="0"/>
    <d v="2023-03-06T00:00:00"/>
    <x v="7"/>
    <x v="7"/>
    <s v="Overdue"/>
  </r>
  <r>
    <x v="8"/>
    <x v="8"/>
    <x v="0"/>
    <n v="9"/>
    <n v="8"/>
    <n v="8"/>
    <x v="0"/>
    <d v="2023-05-22T00:00:00"/>
    <x v="8"/>
    <x v="8"/>
    <s v="Overdue"/>
  </r>
  <r>
    <x v="9"/>
    <x v="9"/>
    <x v="1"/>
    <n v="8"/>
    <n v="8"/>
    <n v="9"/>
    <x v="0"/>
    <d v="2023-06-15T00:00:00"/>
    <x v="9"/>
    <x v="9"/>
    <s v="Overdue"/>
  </r>
  <r>
    <x v="10"/>
    <x v="10"/>
    <x v="2"/>
    <n v="8"/>
    <n v="8"/>
    <n v="7"/>
    <x v="1"/>
    <d v="2023-07-01T00:00:00"/>
    <x v="10"/>
    <x v="10"/>
    <s v="Overdue"/>
  </r>
  <r>
    <x v="11"/>
    <x v="11"/>
    <x v="1"/>
    <n v="8"/>
    <n v="8"/>
    <n v="9"/>
    <x v="0"/>
    <d v="2023-06-24T00:00:00"/>
    <x v="0"/>
    <x v="0"/>
    <s v="Overdue"/>
  </r>
  <r>
    <x v="12"/>
    <x v="12"/>
    <x v="3"/>
    <n v="6"/>
    <n v="6"/>
    <n v="5"/>
    <x v="1"/>
    <d v="2023-05-15T00:00:00"/>
    <x v="11"/>
    <x v="11"/>
    <s v="Overdue"/>
  </r>
  <r>
    <x v="13"/>
    <x v="13"/>
    <x v="1"/>
    <n v="9"/>
    <n v="8"/>
    <n v="8"/>
    <x v="0"/>
    <d v="2023-07-11T00:00:00"/>
    <x v="5"/>
    <x v="5"/>
    <s v="Overdue"/>
  </r>
  <r>
    <x v="14"/>
    <x v="14"/>
    <x v="2"/>
    <n v="7"/>
    <n v="9"/>
    <n v="8"/>
    <x v="0"/>
    <d v="2023-02-05T00:00:00"/>
    <x v="12"/>
    <x v="12"/>
    <s v="Overdue"/>
  </r>
  <r>
    <x v="15"/>
    <x v="15"/>
    <x v="2"/>
    <n v="9"/>
    <n v="8"/>
    <n v="8"/>
    <x v="0"/>
    <d v="2023-04-21T00:00:00"/>
    <x v="13"/>
    <x v="13"/>
    <s v="Overdue"/>
  </r>
  <r>
    <x v="16"/>
    <x v="16"/>
    <x v="0"/>
    <n v="9"/>
    <n v="8"/>
    <n v="9"/>
    <x v="0"/>
    <d v="2023-03-23T00:00:00"/>
    <x v="14"/>
    <x v="14"/>
    <s v="Overdue"/>
  </r>
  <r>
    <x v="17"/>
    <x v="17"/>
    <x v="3"/>
    <n v="9"/>
    <n v="9"/>
    <n v="9"/>
    <x v="0"/>
    <d v="2023-06-04T00:00:00"/>
    <x v="15"/>
    <x v="15"/>
    <s v="Overdue"/>
  </r>
  <r>
    <x v="18"/>
    <x v="18"/>
    <x v="2"/>
    <n v="9"/>
    <n v="9"/>
    <n v="9"/>
    <x v="0"/>
    <d v="2023-03-16T00:00:00"/>
    <x v="16"/>
    <x v="16"/>
    <s v="Overdue"/>
  </r>
  <r>
    <x v="19"/>
    <x v="19"/>
    <x v="2"/>
    <n v="7"/>
    <n v="8"/>
    <n v="7"/>
    <x v="1"/>
    <d v="2023-06-04T00:00:00"/>
    <x v="15"/>
    <x v="15"/>
    <s v="Overdue"/>
  </r>
  <r>
    <x v="20"/>
    <x v="20"/>
    <x v="0"/>
    <n v="7"/>
    <n v="7"/>
    <n v="8"/>
    <x v="0"/>
    <d v="2023-05-22T00:00:00"/>
    <x v="8"/>
    <x v="8"/>
    <s v="Overdue"/>
  </r>
  <r>
    <x v="21"/>
    <x v="21"/>
    <x v="0"/>
    <n v="7"/>
    <n v="9"/>
    <n v="8"/>
    <x v="0"/>
    <d v="2023-03-28T00:00:00"/>
    <x v="17"/>
    <x v="17"/>
    <s v="Overdue"/>
  </r>
  <r>
    <x v="22"/>
    <x v="22"/>
    <x v="2"/>
    <n v="7"/>
    <n v="4"/>
    <n v="8"/>
    <x v="1"/>
    <d v="2023-06-10T00:00:00"/>
    <x v="18"/>
    <x v="18"/>
    <s v="Overdue"/>
  </r>
  <r>
    <x v="23"/>
    <x v="23"/>
    <x v="3"/>
    <n v="8"/>
    <n v="9"/>
    <n v="9"/>
    <x v="0"/>
    <d v="2023-06-22T00:00:00"/>
    <x v="19"/>
    <x v="19"/>
    <s v="Overdue"/>
  </r>
  <r>
    <x v="24"/>
    <x v="24"/>
    <x v="1"/>
    <n v="9"/>
    <n v="8"/>
    <n v="9"/>
    <x v="0"/>
    <d v="2022-12-03T00:00:00"/>
    <x v="20"/>
    <x v="20"/>
    <s v="Overdue"/>
  </r>
  <r>
    <x v="25"/>
    <x v="25"/>
    <x v="3"/>
    <n v="5"/>
    <n v="8"/>
    <n v="4"/>
    <x v="1"/>
    <d v="2023-03-18T00:00:00"/>
    <x v="21"/>
    <x v="21"/>
    <s v="Overdue"/>
  </r>
  <r>
    <x v="26"/>
    <x v="26"/>
    <x v="1"/>
    <n v="9"/>
    <n v="8"/>
    <n v="9"/>
    <x v="0"/>
    <d v="2023-03-02T00:00:00"/>
    <x v="22"/>
    <x v="22"/>
    <s v="Overdue"/>
  </r>
  <r>
    <x v="27"/>
    <x v="27"/>
    <x v="0"/>
    <n v="9"/>
    <n v="9"/>
    <n v="8"/>
    <x v="0"/>
    <d v="2023-05-03T00:00:00"/>
    <x v="23"/>
    <x v="23"/>
    <s v="Overdue"/>
  </r>
  <r>
    <x v="28"/>
    <x v="28"/>
    <x v="2"/>
    <n v="6"/>
    <n v="8"/>
    <n v="7"/>
    <x v="1"/>
    <d v="2023-02-08T00:00:00"/>
    <x v="24"/>
    <x v="24"/>
    <s v="Overdue"/>
  </r>
  <r>
    <x v="29"/>
    <x v="29"/>
    <x v="2"/>
    <n v="7"/>
    <n v="8"/>
    <n v="9"/>
    <x v="0"/>
    <d v="2023-07-12T00:00:00"/>
    <x v="25"/>
    <x v="25"/>
    <s v="Overdue"/>
  </r>
  <r>
    <x v="30"/>
    <x v="30"/>
    <x v="2"/>
    <n v="6"/>
    <n v="6"/>
    <n v="6"/>
    <x v="1"/>
    <d v="2023-05-10T00:00:00"/>
    <x v="26"/>
    <x v="26"/>
    <s v="Overdue"/>
  </r>
  <r>
    <x v="31"/>
    <x v="31"/>
    <x v="2"/>
    <n v="7"/>
    <n v="8"/>
    <n v="8"/>
    <x v="0"/>
    <d v="2023-04-13T00:00:00"/>
    <x v="27"/>
    <x v="27"/>
    <s v="Overdue"/>
  </r>
  <r>
    <x v="32"/>
    <x v="32"/>
    <x v="1"/>
    <n v="8"/>
    <n v="6"/>
    <n v="8"/>
    <x v="1"/>
    <d v="2023-05-15T00:00:00"/>
    <x v="11"/>
    <x v="11"/>
    <s v="Overdue"/>
  </r>
  <r>
    <x v="33"/>
    <x v="33"/>
    <x v="3"/>
    <n v="5"/>
    <n v="7"/>
    <n v="7"/>
    <x v="1"/>
    <d v="2023-01-16T00:00:00"/>
    <x v="28"/>
    <x v="28"/>
    <s v="Overdue"/>
  </r>
  <r>
    <x v="34"/>
    <x v="34"/>
    <x v="2"/>
    <n v="8"/>
    <n v="8"/>
    <n v="8"/>
    <x v="0"/>
    <d v="2023-02-01T00:00:00"/>
    <x v="29"/>
    <x v="29"/>
    <s v="Overdue"/>
  </r>
  <r>
    <x v="35"/>
    <x v="35"/>
    <x v="0"/>
    <n v="8"/>
    <n v="8"/>
    <n v="6"/>
    <x v="1"/>
    <d v="2023-01-03T00:00:00"/>
    <x v="30"/>
    <x v="30"/>
    <s v="Overdue"/>
  </r>
  <r>
    <x v="36"/>
    <x v="36"/>
    <x v="0"/>
    <n v="9"/>
    <n v="8"/>
    <n v="8"/>
    <x v="0"/>
    <d v="2023-05-01T00:00:00"/>
    <x v="31"/>
    <x v="31"/>
    <s v="Overdue"/>
  </r>
  <r>
    <x v="37"/>
    <x v="37"/>
    <x v="0"/>
    <n v="8"/>
    <n v="9"/>
    <n v="7"/>
    <x v="1"/>
    <d v="2023-06-16T00:00:00"/>
    <x v="32"/>
    <x v="32"/>
    <s v="Overdue"/>
  </r>
  <r>
    <x v="38"/>
    <x v="38"/>
    <x v="1"/>
    <n v="8"/>
    <n v="9"/>
    <n v="8"/>
    <x v="0"/>
    <d v="2023-03-29T00:00:00"/>
    <x v="33"/>
    <x v="33"/>
    <s v="Overdue"/>
  </r>
  <r>
    <x v="39"/>
    <x v="39"/>
    <x v="1"/>
    <n v="7"/>
    <n v="8"/>
    <n v="9"/>
    <x v="0"/>
    <d v="2023-04-13T00:00:00"/>
    <x v="27"/>
    <x v="27"/>
    <s v="Overdue"/>
  </r>
  <r>
    <x v="40"/>
    <x v="40"/>
    <x v="3"/>
    <n v="6"/>
    <n v="4"/>
    <n v="7"/>
    <x v="1"/>
    <d v="2023-07-09T00:00:00"/>
    <x v="34"/>
    <x v="34"/>
    <s v="Overd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0B44D-8F04-ED4F-9B20-E767E1D4AFF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 rowPageCount="3" colPageCount="1"/>
  <pivotFields count="11">
    <pivotField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Page" showAll="0">
      <items count="42">
        <item x="37"/>
        <item x="21"/>
        <item x="28"/>
        <item x="16"/>
        <item x="8"/>
        <item x="25"/>
        <item x="38"/>
        <item x="12"/>
        <item x="10"/>
        <item x="2"/>
        <item x="24"/>
        <item x="33"/>
        <item x="17"/>
        <item x="23"/>
        <item x="7"/>
        <item x="34"/>
        <item x="30"/>
        <item x="36"/>
        <item x="18"/>
        <item x="13"/>
        <item x="6"/>
        <item x="11"/>
        <item x="0"/>
        <item x="19"/>
        <item x="40"/>
        <item x="35"/>
        <item x="22"/>
        <item x="29"/>
        <item x="15"/>
        <item x="32"/>
        <item x="39"/>
        <item x="3"/>
        <item x="5"/>
        <item x="31"/>
        <item x="14"/>
        <item x="9"/>
        <item x="4"/>
        <item x="26"/>
        <item x="20"/>
        <item x="1"/>
        <item x="2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numFmtId="14" showAll="0"/>
    <pivotField axis="axisPage" numFmtId="14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8" hier="-1"/>
    <pageField fld="1" hier="-1"/>
    <pageField fld="6" hier="-1"/>
  </pageFields>
  <dataFields count="1">
    <dataField name="Count of Days til next check" fld="9" subtotal="count" showDataAs="percentDiff" baseField="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A3DE7-D18A-4E4A-8A8D-D418CD61B0B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9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axis="axisRow" dataField="1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showAll="0"/>
  </pivotFields>
  <rowFields count="1">
    <field x="9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Sum of Days til next check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642B-40CA-3548-9DBE-A50AE186B17A}">
  <dimension ref="A1:B10"/>
  <sheetViews>
    <sheetView workbookViewId="0">
      <selection activeCell="B7" sqref="B7"/>
    </sheetView>
  </sheetViews>
  <sheetFormatPr baseColWidth="10" defaultRowHeight="15" x14ac:dyDescent="0.2"/>
  <cols>
    <col min="1" max="1" width="12.83203125" bestFit="1" customWidth="1"/>
    <col min="2" max="2" width="22.5" bestFit="1" customWidth="1"/>
  </cols>
  <sheetData>
    <row r="1" spans="1:2" x14ac:dyDescent="0.2">
      <c r="A1" s="10" t="s">
        <v>46</v>
      </c>
      <c r="B1" t="s">
        <v>98</v>
      </c>
    </row>
    <row r="2" spans="1:2" x14ac:dyDescent="0.2">
      <c r="A2" s="10" t="s">
        <v>5</v>
      </c>
      <c r="B2" t="s">
        <v>98</v>
      </c>
    </row>
    <row r="3" spans="1:2" x14ac:dyDescent="0.2">
      <c r="A3" s="10" t="s">
        <v>3</v>
      </c>
      <c r="B3" t="s">
        <v>98</v>
      </c>
    </row>
    <row r="5" spans="1:2" x14ac:dyDescent="0.2">
      <c r="A5" s="10" t="s">
        <v>100</v>
      </c>
      <c r="B5" t="s">
        <v>99</v>
      </c>
    </row>
    <row r="6" spans="1:2" x14ac:dyDescent="0.2">
      <c r="A6" s="11" t="s">
        <v>64</v>
      </c>
      <c r="B6" s="12">
        <v>0.7142857142857143</v>
      </c>
    </row>
    <row r="7" spans="1:2" x14ac:dyDescent="0.2">
      <c r="A7" s="11" t="s">
        <v>66</v>
      </c>
      <c r="B7" s="12"/>
    </row>
    <row r="8" spans="1:2" x14ac:dyDescent="0.2">
      <c r="A8" s="11" t="s">
        <v>65</v>
      </c>
      <c r="B8" s="12">
        <v>0.7142857142857143</v>
      </c>
    </row>
    <row r="9" spans="1:2" x14ac:dyDescent="0.2">
      <c r="A9" s="11" t="s">
        <v>67</v>
      </c>
      <c r="B9" s="12">
        <v>0.42857142857142855</v>
      </c>
    </row>
    <row r="10" spans="1:2" x14ac:dyDescent="0.2">
      <c r="A10" s="11" t="s">
        <v>101</v>
      </c>
      <c r="B1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E04A-A430-1A45-A6CE-1DBFAA4588D9}">
  <dimension ref="A3:B39"/>
  <sheetViews>
    <sheetView tabSelected="1" workbookViewId="0">
      <selection activeCell="B3" sqref="B3"/>
    </sheetView>
  </sheetViews>
  <sheetFormatPr baseColWidth="10" defaultRowHeight="15" x14ac:dyDescent="0.2"/>
  <cols>
    <col min="1" max="1" width="12.1640625" bestFit="1" customWidth="1"/>
    <col min="2" max="2" width="21" bestFit="1" customWidth="1"/>
  </cols>
  <sheetData>
    <row r="3" spans="1:2" x14ac:dyDescent="0.2">
      <c r="A3" s="10" t="s">
        <v>100</v>
      </c>
      <c r="B3" t="s">
        <v>102</v>
      </c>
    </row>
    <row r="4" spans="1:2" x14ac:dyDescent="0.2">
      <c r="A4" s="11">
        <v>-1134</v>
      </c>
      <c r="B4" s="13">
        <v>-1134</v>
      </c>
    </row>
    <row r="5" spans="1:2" x14ac:dyDescent="0.2">
      <c r="A5" s="11">
        <v>-1126</v>
      </c>
      <c r="B5" s="13">
        <v>-1126</v>
      </c>
    </row>
    <row r="6" spans="1:2" x14ac:dyDescent="0.2">
      <c r="A6" s="11">
        <v>-1103</v>
      </c>
      <c r="B6" s="13">
        <v>-1103</v>
      </c>
    </row>
    <row r="7" spans="1:2" x14ac:dyDescent="0.2">
      <c r="A7" s="11">
        <v>-1090</v>
      </c>
      <c r="B7" s="13">
        <v>-1090</v>
      </c>
    </row>
    <row r="8" spans="1:2" x14ac:dyDescent="0.2">
      <c r="A8" s="11">
        <v>-1074</v>
      </c>
      <c r="B8" s="13">
        <v>-1074</v>
      </c>
    </row>
    <row r="9" spans="1:2" x14ac:dyDescent="0.2">
      <c r="A9" s="11">
        <v>-1070</v>
      </c>
      <c r="B9" s="13">
        <v>-1070</v>
      </c>
    </row>
    <row r="10" spans="1:2" x14ac:dyDescent="0.2">
      <c r="A10" s="11">
        <v>-1067</v>
      </c>
      <c r="B10" s="13">
        <v>-1067</v>
      </c>
    </row>
    <row r="11" spans="1:2" x14ac:dyDescent="0.2">
      <c r="A11" s="11">
        <v>-1045</v>
      </c>
      <c r="B11" s="13">
        <v>-1045</v>
      </c>
    </row>
    <row r="12" spans="1:2" x14ac:dyDescent="0.2">
      <c r="A12" s="11">
        <v>-1044</v>
      </c>
      <c r="B12" s="13">
        <v>-1044</v>
      </c>
    </row>
    <row r="13" spans="1:2" x14ac:dyDescent="0.2">
      <c r="A13" s="11">
        <v>-1041</v>
      </c>
      <c r="B13" s="13">
        <v>-1041</v>
      </c>
    </row>
    <row r="14" spans="1:2" x14ac:dyDescent="0.2">
      <c r="A14" s="11">
        <v>-1037</v>
      </c>
      <c r="B14" s="13">
        <v>-1037</v>
      </c>
    </row>
    <row r="15" spans="1:2" x14ac:dyDescent="0.2">
      <c r="A15" s="11">
        <v>-1031</v>
      </c>
      <c r="B15" s="13">
        <v>-1031</v>
      </c>
    </row>
    <row r="16" spans="1:2" x14ac:dyDescent="0.2">
      <c r="A16" s="11">
        <v>-1029</v>
      </c>
      <c r="B16" s="13">
        <v>-1029</v>
      </c>
    </row>
    <row r="17" spans="1:2" x14ac:dyDescent="0.2">
      <c r="A17" s="11">
        <v>-1024</v>
      </c>
      <c r="B17" s="13">
        <v>-1024</v>
      </c>
    </row>
    <row r="18" spans="1:2" x14ac:dyDescent="0.2">
      <c r="A18" s="11">
        <v>-1019</v>
      </c>
      <c r="B18" s="13">
        <v>-1019</v>
      </c>
    </row>
    <row r="19" spans="1:2" x14ac:dyDescent="0.2">
      <c r="A19" s="11">
        <v>-1018</v>
      </c>
      <c r="B19" s="13">
        <v>-1018</v>
      </c>
    </row>
    <row r="20" spans="1:2" x14ac:dyDescent="0.2">
      <c r="A20" s="11">
        <v>-1003</v>
      </c>
      <c r="B20" s="13">
        <v>-2006</v>
      </c>
    </row>
    <row r="21" spans="1:2" x14ac:dyDescent="0.2">
      <c r="A21" s="11">
        <v>-1001</v>
      </c>
      <c r="B21" s="13">
        <v>-1001</v>
      </c>
    </row>
    <row r="22" spans="1:2" x14ac:dyDescent="0.2">
      <c r="A22" s="11">
        <v>-995</v>
      </c>
      <c r="B22" s="13">
        <v>-995</v>
      </c>
    </row>
    <row r="23" spans="1:2" x14ac:dyDescent="0.2">
      <c r="A23" s="11">
        <v>-985</v>
      </c>
      <c r="B23" s="13">
        <v>-985</v>
      </c>
    </row>
    <row r="24" spans="1:2" x14ac:dyDescent="0.2">
      <c r="A24" s="11">
        <v>-983</v>
      </c>
      <c r="B24" s="13">
        <v>-983</v>
      </c>
    </row>
    <row r="25" spans="1:2" x14ac:dyDescent="0.2">
      <c r="A25" s="11">
        <v>-976</v>
      </c>
      <c r="B25" s="13">
        <v>-976</v>
      </c>
    </row>
    <row r="26" spans="1:2" x14ac:dyDescent="0.2">
      <c r="A26" s="11">
        <v>-971</v>
      </c>
      <c r="B26" s="13">
        <v>-1942</v>
      </c>
    </row>
    <row r="27" spans="1:2" x14ac:dyDescent="0.2">
      <c r="A27" s="11">
        <v>-964</v>
      </c>
      <c r="B27" s="13">
        <v>-1928</v>
      </c>
    </row>
    <row r="28" spans="1:2" x14ac:dyDescent="0.2">
      <c r="A28" s="11">
        <v>-951</v>
      </c>
      <c r="B28" s="13">
        <v>-1902</v>
      </c>
    </row>
    <row r="29" spans="1:2" x14ac:dyDescent="0.2">
      <c r="A29" s="11">
        <v>-945</v>
      </c>
      <c r="B29" s="13">
        <v>-945</v>
      </c>
    </row>
    <row r="30" spans="1:2" x14ac:dyDescent="0.2">
      <c r="A30" s="11">
        <v>-940</v>
      </c>
      <c r="B30" s="13">
        <v>-940</v>
      </c>
    </row>
    <row r="31" spans="1:2" x14ac:dyDescent="0.2">
      <c r="A31" s="11">
        <v>-939</v>
      </c>
      <c r="B31" s="13">
        <v>-939</v>
      </c>
    </row>
    <row r="32" spans="1:2" x14ac:dyDescent="0.2">
      <c r="A32" s="11">
        <v>-933</v>
      </c>
      <c r="B32" s="13">
        <v>-933</v>
      </c>
    </row>
    <row r="33" spans="1:2" x14ac:dyDescent="0.2">
      <c r="A33" s="11">
        <v>-931</v>
      </c>
      <c r="B33" s="13">
        <v>-1862</v>
      </c>
    </row>
    <row r="34" spans="1:2" x14ac:dyDescent="0.2">
      <c r="A34" s="11">
        <v>-924</v>
      </c>
      <c r="B34" s="13">
        <v>-924</v>
      </c>
    </row>
    <row r="35" spans="1:2" x14ac:dyDescent="0.2">
      <c r="A35" s="11">
        <v>-916</v>
      </c>
      <c r="B35" s="13">
        <v>-916</v>
      </c>
    </row>
    <row r="36" spans="1:2" x14ac:dyDescent="0.2">
      <c r="A36" s="11">
        <v>-914</v>
      </c>
      <c r="B36" s="13">
        <v>-1828</v>
      </c>
    </row>
    <row r="37" spans="1:2" x14ac:dyDescent="0.2">
      <c r="A37" s="11">
        <v>-913</v>
      </c>
      <c r="B37" s="13">
        <v>-913</v>
      </c>
    </row>
    <row r="38" spans="1:2" x14ac:dyDescent="0.2">
      <c r="A38" s="11">
        <v>-898</v>
      </c>
      <c r="B38" s="13">
        <v>-898</v>
      </c>
    </row>
    <row r="39" spans="1:2" x14ac:dyDescent="0.2">
      <c r="A39" s="11" t="s">
        <v>101</v>
      </c>
      <c r="B39" s="13">
        <v>-40768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zoomScaleNormal="85" workbookViewId="0">
      <selection activeCell="B33" sqref="A3:K44"/>
    </sheetView>
  </sheetViews>
  <sheetFormatPr baseColWidth="10" defaultColWidth="8.83203125" defaultRowHeight="15" x14ac:dyDescent="0.2"/>
  <cols>
    <col min="1" max="1" width="10.33203125" customWidth="1"/>
    <col min="2" max="2" width="25.83203125" bestFit="1" customWidth="1"/>
    <col min="3" max="3" width="9.5" customWidth="1"/>
    <col min="4" max="4" width="6.5" style="2" bestFit="1" customWidth="1"/>
    <col min="5" max="5" width="5.5" style="2" bestFit="1" customWidth="1"/>
    <col min="6" max="6" width="6.83203125" style="2" customWidth="1"/>
    <col min="7" max="7" width="9.1640625" style="2" customWidth="1"/>
    <col min="8" max="8" width="11.5" style="2" bestFit="1" customWidth="1"/>
    <col min="9" max="9" width="11.5" bestFit="1" customWidth="1"/>
    <col min="10" max="10" width="10.33203125" bestFit="1" customWidth="1"/>
    <col min="11" max="11" width="8.83203125" style="2" bestFit="1" customWidth="1"/>
    <col min="19" max="19" width="8.83203125" customWidth="1"/>
  </cols>
  <sheetData>
    <row r="1" spans="1:11" ht="19" x14ac:dyDescent="0.25">
      <c r="A1" s="7" t="s">
        <v>0</v>
      </c>
      <c r="B1" s="7"/>
      <c r="C1" s="7"/>
    </row>
    <row r="3" spans="1:11" s="1" customFormat="1" ht="32" x14ac:dyDescent="0.2">
      <c r="A3" s="5" t="s">
        <v>6</v>
      </c>
      <c r="B3" s="5" t="s">
        <v>5</v>
      </c>
      <c r="C3" s="5" t="s">
        <v>63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45</v>
      </c>
      <c r="I3" s="6" t="s">
        <v>46</v>
      </c>
      <c r="J3" s="6" t="s">
        <v>68</v>
      </c>
      <c r="K3" s="6" t="s">
        <v>52</v>
      </c>
    </row>
    <row r="4" spans="1:11" x14ac:dyDescent="0.2">
      <c r="A4" s="3" t="s">
        <v>87</v>
      </c>
      <c r="B4" s="3" t="s">
        <v>54</v>
      </c>
      <c r="C4" s="3" t="s">
        <v>67</v>
      </c>
      <c r="D4" s="4">
        <v>8</v>
      </c>
      <c r="E4" s="4">
        <v>8</v>
      </c>
      <c r="F4" s="4">
        <v>8</v>
      </c>
      <c r="G4" s="4" t="str">
        <f t="shared" ref="G4:G44" si="0">IF(AND(D4&gt;=7,E4&gt;=7,F4&gt;=8),"Pass","Fail")</f>
        <v>Pass</v>
      </c>
      <c r="H4" s="8">
        <v>45101</v>
      </c>
      <c r="I4" s="9">
        <v>45287</v>
      </c>
      <c r="J4" s="3">
        <f t="shared" ref="J4:J44" ca="1" si="1">I4-TODAY()</f>
        <v>-932</v>
      </c>
      <c r="K4" s="4" t="str">
        <f t="shared" ref="K4:K44" ca="1" si="2">IF(J4&gt;=0, "-", "Overdue")</f>
        <v>Overdue</v>
      </c>
    </row>
    <row r="5" spans="1:11" x14ac:dyDescent="0.2">
      <c r="A5" s="3" t="s">
        <v>88</v>
      </c>
      <c r="B5" s="3" t="s">
        <v>43</v>
      </c>
      <c r="C5" s="3" t="s">
        <v>65</v>
      </c>
      <c r="D5" s="4">
        <v>8</v>
      </c>
      <c r="E5" s="4">
        <v>9</v>
      </c>
      <c r="F5" s="4">
        <v>8</v>
      </c>
      <c r="G5" s="4" t="str">
        <f t="shared" si="0"/>
        <v>Pass</v>
      </c>
      <c r="H5" s="8">
        <v>45031</v>
      </c>
      <c r="I5" s="9">
        <v>45217</v>
      </c>
      <c r="J5" s="3">
        <f t="shared" ca="1" si="1"/>
        <v>-1002</v>
      </c>
      <c r="K5" s="4" t="str">
        <f t="shared" ca="1" si="2"/>
        <v>Overdue</v>
      </c>
    </row>
    <row r="6" spans="1:11" x14ac:dyDescent="0.2">
      <c r="A6" s="3" t="s">
        <v>89</v>
      </c>
      <c r="B6" s="3" t="s">
        <v>62</v>
      </c>
      <c r="C6" s="3" t="s">
        <v>64</v>
      </c>
      <c r="D6" s="4">
        <v>8</v>
      </c>
      <c r="E6" s="4">
        <v>9</v>
      </c>
      <c r="F6" s="4">
        <v>8</v>
      </c>
      <c r="G6" s="4" t="str">
        <f t="shared" si="0"/>
        <v>Pass</v>
      </c>
      <c r="H6" s="8">
        <v>44906</v>
      </c>
      <c r="I6" s="9">
        <v>45092</v>
      </c>
      <c r="J6" s="3">
        <f t="shared" ca="1" si="1"/>
        <v>-1127</v>
      </c>
      <c r="K6" s="4" t="str">
        <f t="shared" ca="1" si="2"/>
        <v>Overdue</v>
      </c>
    </row>
    <row r="7" spans="1:11" x14ac:dyDescent="0.2">
      <c r="A7" s="3" t="s">
        <v>90</v>
      </c>
      <c r="B7" s="3" t="s">
        <v>26</v>
      </c>
      <c r="C7" s="3" t="s">
        <v>66</v>
      </c>
      <c r="D7" s="4">
        <v>7</v>
      </c>
      <c r="E7" s="4">
        <v>6</v>
      </c>
      <c r="F7" s="4">
        <v>7</v>
      </c>
      <c r="G7" s="4" t="str">
        <f t="shared" si="0"/>
        <v>Fail</v>
      </c>
      <c r="H7" s="8">
        <v>45134</v>
      </c>
      <c r="I7" s="9">
        <v>45320</v>
      </c>
      <c r="J7" s="3">
        <f t="shared" ca="1" si="1"/>
        <v>-899</v>
      </c>
      <c r="K7" s="4" t="str">
        <f t="shared" ca="1" si="2"/>
        <v>Overdue</v>
      </c>
    </row>
    <row r="8" spans="1:11" x14ac:dyDescent="0.2">
      <c r="A8" s="3" t="s">
        <v>91</v>
      </c>
      <c r="B8" s="3" t="s">
        <v>37</v>
      </c>
      <c r="C8" s="3" t="s">
        <v>65</v>
      </c>
      <c r="D8" s="4">
        <v>7</v>
      </c>
      <c r="E8" s="4">
        <v>7</v>
      </c>
      <c r="F8" s="4">
        <v>8</v>
      </c>
      <c r="G8" s="4" t="str">
        <f t="shared" si="0"/>
        <v>Pass</v>
      </c>
      <c r="H8" s="8">
        <v>44988</v>
      </c>
      <c r="I8" s="9">
        <v>45174</v>
      </c>
      <c r="J8" s="3">
        <f t="shared" ca="1" si="1"/>
        <v>-1045</v>
      </c>
      <c r="K8" s="4" t="str">
        <f t="shared" ca="1" si="2"/>
        <v>Overdue</v>
      </c>
    </row>
    <row r="9" spans="1:11" x14ac:dyDescent="0.2">
      <c r="A9" s="3" t="s">
        <v>22</v>
      </c>
      <c r="B9" s="3" t="s">
        <v>50</v>
      </c>
      <c r="C9" s="3" t="s">
        <v>65</v>
      </c>
      <c r="D9" s="4">
        <v>8</v>
      </c>
      <c r="E9" s="4">
        <v>9</v>
      </c>
      <c r="F9" s="4">
        <v>8</v>
      </c>
      <c r="G9" s="4" t="str">
        <f t="shared" si="0"/>
        <v>Pass</v>
      </c>
      <c r="H9" s="8">
        <v>45118</v>
      </c>
      <c r="I9" s="9">
        <v>45304</v>
      </c>
      <c r="J9" s="3">
        <f t="shared" ca="1" si="1"/>
        <v>-915</v>
      </c>
      <c r="K9" s="4" t="str">
        <f t="shared" ca="1" si="2"/>
        <v>Overdue</v>
      </c>
    </row>
    <row r="10" spans="1:11" x14ac:dyDescent="0.2">
      <c r="A10" s="3" t="s">
        <v>55</v>
      </c>
      <c r="B10" s="3" t="s">
        <v>57</v>
      </c>
      <c r="C10" s="3" t="s">
        <v>67</v>
      </c>
      <c r="D10" s="4">
        <v>6</v>
      </c>
      <c r="E10" s="4">
        <v>8</v>
      </c>
      <c r="F10" s="4">
        <v>7</v>
      </c>
      <c r="G10" s="4" t="str">
        <f t="shared" si="0"/>
        <v>Fail</v>
      </c>
      <c r="H10" s="8">
        <v>44995</v>
      </c>
      <c r="I10" s="9">
        <v>45181</v>
      </c>
      <c r="J10" s="3">
        <f t="shared" ca="1" si="1"/>
        <v>-1038</v>
      </c>
      <c r="K10" s="4" t="str">
        <f t="shared" ca="1" si="2"/>
        <v>Overdue</v>
      </c>
    </row>
    <row r="11" spans="1:11" x14ac:dyDescent="0.2">
      <c r="A11" s="3" t="s">
        <v>92</v>
      </c>
      <c r="B11" s="3" t="s">
        <v>15</v>
      </c>
      <c r="C11" s="3" t="s">
        <v>65</v>
      </c>
      <c r="D11" s="4">
        <v>9</v>
      </c>
      <c r="E11" s="4">
        <v>7</v>
      </c>
      <c r="F11" s="4">
        <v>9</v>
      </c>
      <c r="G11" s="4" t="str">
        <f t="shared" si="0"/>
        <v>Pass</v>
      </c>
      <c r="H11" s="8">
        <v>44991</v>
      </c>
      <c r="I11" s="9">
        <v>45177</v>
      </c>
      <c r="J11" s="3">
        <f t="shared" ca="1" si="1"/>
        <v>-1042</v>
      </c>
      <c r="K11" s="4" t="str">
        <f t="shared" ca="1" si="2"/>
        <v>Overdue</v>
      </c>
    </row>
    <row r="12" spans="1:11" x14ac:dyDescent="0.2">
      <c r="A12" s="3" t="s">
        <v>93</v>
      </c>
      <c r="B12" s="3" t="s">
        <v>58</v>
      </c>
      <c r="C12" s="3" t="s">
        <v>67</v>
      </c>
      <c r="D12" s="4">
        <v>9</v>
      </c>
      <c r="E12" s="4">
        <v>8</v>
      </c>
      <c r="F12" s="4">
        <v>8</v>
      </c>
      <c r="G12" s="4" t="str">
        <f t="shared" si="0"/>
        <v>Pass</v>
      </c>
      <c r="H12" s="8">
        <v>45068</v>
      </c>
      <c r="I12" s="9">
        <v>45254</v>
      </c>
      <c r="J12" s="3">
        <f t="shared" ca="1" si="1"/>
        <v>-965</v>
      </c>
      <c r="K12" s="4" t="str">
        <f t="shared" ca="1" si="2"/>
        <v>Overdue</v>
      </c>
    </row>
    <row r="13" spans="1:11" x14ac:dyDescent="0.2">
      <c r="A13" s="3" t="s">
        <v>70</v>
      </c>
      <c r="B13" s="3" t="s">
        <v>60</v>
      </c>
      <c r="C13" s="3" t="s">
        <v>65</v>
      </c>
      <c r="D13" s="4">
        <v>8</v>
      </c>
      <c r="E13" s="4">
        <v>8</v>
      </c>
      <c r="F13" s="4">
        <v>9</v>
      </c>
      <c r="G13" s="4" t="str">
        <f t="shared" si="0"/>
        <v>Pass</v>
      </c>
      <c r="H13" s="8">
        <v>45092</v>
      </c>
      <c r="I13" s="9">
        <v>45278</v>
      </c>
      <c r="J13" s="3">
        <f t="shared" ca="1" si="1"/>
        <v>-941</v>
      </c>
      <c r="K13" s="4" t="str">
        <f t="shared" ca="1" si="2"/>
        <v>Overdue</v>
      </c>
    </row>
    <row r="14" spans="1:11" x14ac:dyDescent="0.2">
      <c r="A14" s="3" t="s">
        <v>71</v>
      </c>
      <c r="B14" s="3" t="s">
        <v>30</v>
      </c>
      <c r="C14" s="3" t="s">
        <v>64</v>
      </c>
      <c r="D14" s="4">
        <v>8</v>
      </c>
      <c r="E14" s="4">
        <v>8</v>
      </c>
      <c r="F14" s="4">
        <v>7</v>
      </c>
      <c r="G14" s="4" t="str">
        <f t="shared" si="0"/>
        <v>Fail</v>
      </c>
      <c r="H14" s="8">
        <v>45108</v>
      </c>
      <c r="I14" s="9">
        <v>45294</v>
      </c>
      <c r="J14" s="3">
        <f t="shared" ca="1" si="1"/>
        <v>-925</v>
      </c>
      <c r="K14" s="4" t="str">
        <f t="shared" ca="1" si="2"/>
        <v>Overdue</v>
      </c>
    </row>
    <row r="15" spans="1:11" x14ac:dyDescent="0.2">
      <c r="A15" s="3" t="s">
        <v>23</v>
      </c>
      <c r="B15" s="3" t="s">
        <v>51</v>
      </c>
      <c r="C15" s="3" t="s">
        <v>65</v>
      </c>
      <c r="D15" s="4">
        <v>8</v>
      </c>
      <c r="E15" s="4">
        <v>8</v>
      </c>
      <c r="F15" s="4">
        <v>9</v>
      </c>
      <c r="G15" s="4" t="str">
        <f t="shared" si="0"/>
        <v>Pass</v>
      </c>
      <c r="H15" s="8">
        <v>45101</v>
      </c>
      <c r="I15" s="9">
        <v>45287</v>
      </c>
      <c r="J15" s="3">
        <f t="shared" ca="1" si="1"/>
        <v>-932</v>
      </c>
      <c r="K15" s="4" t="str">
        <f t="shared" ca="1" si="2"/>
        <v>Overdue</v>
      </c>
    </row>
    <row r="16" spans="1:11" x14ac:dyDescent="0.2">
      <c r="A16" s="3" t="s">
        <v>73</v>
      </c>
      <c r="B16" s="3" t="s">
        <v>24</v>
      </c>
      <c r="C16" s="3" t="s">
        <v>66</v>
      </c>
      <c r="D16" s="4">
        <v>6</v>
      </c>
      <c r="E16" s="4">
        <v>6</v>
      </c>
      <c r="F16" s="4">
        <v>5</v>
      </c>
      <c r="G16" s="4" t="str">
        <f t="shared" si="0"/>
        <v>Fail</v>
      </c>
      <c r="H16" s="8">
        <v>45061</v>
      </c>
      <c r="I16" s="9">
        <v>45247</v>
      </c>
      <c r="J16" s="3">
        <f t="shared" ca="1" si="1"/>
        <v>-972</v>
      </c>
      <c r="K16" s="4" t="str">
        <f t="shared" ca="1" si="2"/>
        <v>Overdue</v>
      </c>
    </row>
    <row r="17" spans="1:11" x14ac:dyDescent="0.2">
      <c r="A17" s="3" t="s">
        <v>78</v>
      </c>
      <c r="B17" s="3" t="s">
        <v>31</v>
      </c>
      <c r="C17" s="3" t="s">
        <v>65</v>
      </c>
      <c r="D17" s="4">
        <v>9</v>
      </c>
      <c r="E17" s="4">
        <v>8</v>
      </c>
      <c r="F17" s="4">
        <v>8</v>
      </c>
      <c r="G17" s="4" t="str">
        <f t="shared" si="0"/>
        <v>Pass</v>
      </c>
      <c r="H17" s="8">
        <v>45118</v>
      </c>
      <c r="I17" s="9">
        <v>45304</v>
      </c>
      <c r="J17" s="3">
        <f t="shared" ca="1" si="1"/>
        <v>-915</v>
      </c>
      <c r="K17" s="4" t="str">
        <f t="shared" ca="1" si="2"/>
        <v>Overdue</v>
      </c>
    </row>
    <row r="18" spans="1:11" x14ac:dyDescent="0.2">
      <c r="A18" s="3" t="s">
        <v>18</v>
      </c>
      <c r="B18" s="3" t="s">
        <v>28</v>
      </c>
      <c r="C18" s="3" t="s">
        <v>64</v>
      </c>
      <c r="D18" s="4">
        <v>7</v>
      </c>
      <c r="E18" s="4">
        <v>9</v>
      </c>
      <c r="F18" s="4">
        <v>8</v>
      </c>
      <c r="G18" s="4" t="str">
        <f t="shared" si="0"/>
        <v>Pass</v>
      </c>
      <c r="H18" s="8">
        <v>44962</v>
      </c>
      <c r="I18" s="9">
        <v>45148</v>
      </c>
      <c r="J18" s="3">
        <f t="shared" ca="1" si="1"/>
        <v>-1071</v>
      </c>
      <c r="K18" s="4" t="str">
        <f t="shared" ca="1" si="2"/>
        <v>Overdue</v>
      </c>
    </row>
    <row r="19" spans="1:11" x14ac:dyDescent="0.2">
      <c r="A19" s="3" t="s">
        <v>20</v>
      </c>
      <c r="B19" s="3" t="s">
        <v>42</v>
      </c>
      <c r="C19" s="3" t="s">
        <v>64</v>
      </c>
      <c r="D19" s="4">
        <v>9</v>
      </c>
      <c r="E19" s="4">
        <v>8</v>
      </c>
      <c r="F19" s="4">
        <v>8</v>
      </c>
      <c r="G19" s="4" t="str">
        <f t="shared" si="0"/>
        <v>Pass</v>
      </c>
      <c r="H19" s="8">
        <v>45037</v>
      </c>
      <c r="I19" s="9">
        <v>45223</v>
      </c>
      <c r="J19" s="3">
        <f t="shared" ca="1" si="1"/>
        <v>-996</v>
      </c>
      <c r="K19" s="4" t="str">
        <f t="shared" ca="1" si="2"/>
        <v>Overdue</v>
      </c>
    </row>
    <row r="20" spans="1:11" x14ac:dyDescent="0.2">
      <c r="A20" s="3" t="s">
        <v>79</v>
      </c>
      <c r="B20" s="3" t="s">
        <v>35</v>
      </c>
      <c r="C20" s="3" t="s">
        <v>67</v>
      </c>
      <c r="D20" s="4">
        <v>9</v>
      </c>
      <c r="E20" s="4">
        <v>8</v>
      </c>
      <c r="F20" s="4">
        <v>9</v>
      </c>
      <c r="G20" s="4" t="str">
        <f t="shared" si="0"/>
        <v>Pass</v>
      </c>
      <c r="H20" s="8">
        <v>45008</v>
      </c>
      <c r="I20" s="9">
        <v>45194</v>
      </c>
      <c r="J20" s="3">
        <f t="shared" ca="1" si="1"/>
        <v>-1025</v>
      </c>
      <c r="K20" s="4" t="str">
        <f t="shared" ca="1" si="2"/>
        <v>Overdue</v>
      </c>
    </row>
    <row r="21" spans="1:11" x14ac:dyDescent="0.2">
      <c r="A21" s="3" t="s">
        <v>80</v>
      </c>
      <c r="B21" s="3" t="s">
        <v>44</v>
      </c>
      <c r="C21" s="3" t="s">
        <v>66</v>
      </c>
      <c r="D21" s="4">
        <v>9</v>
      </c>
      <c r="E21" s="4">
        <v>9</v>
      </c>
      <c r="F21" s="4">
        <v>9</v>
      </c>
      <c r="G21" s="4" t="str">
        <f t="shared" si="0"/>
        <v>Pass</v>
      </c>
      <c r="H21" s="8">
        <v>45081</v>
      </c>
      <c r="I21" s="9">
        <v>45267</v>
      </c>
      <c r="J21" s="3">
        <f t="shared" ca="1" si="1"/>
        <v>-952</v>
      </c>
      <c r="K21" s="4" t="str">
        <f t="shared" ca="1" si="2"/>
        <v>Overdue</v>
      </c>
    </row>
    <row r="22" spans="1:11" x14ac:dyDescent="0.2">
      <c r="A22" s="3" t="s">
        <v>72</v>
      </c>
      <c r="B22" s="3" t="s">
        <v>53</v>
      </c>
      <c r="C22" s="3" t="s">
        <v>64</v>
      </c>
      <c r="D22" s="4">
        <v>9</v>
      </c>
      <c r="E22" s="4">
        <v>9</v>
      </c>
      <c r="F22" s="4">
        <v>9</v>
      </c>
      <c r="G22" s="4" t="str">
        <f t="shared" si="0"/>
        <v>Pass</v>
      </c>
      <c r="H22" s="8">
        <v>45001</v>
      </c>
      <c r="I22" s="9">
        <v>45187</v>
      </c>
      <c r="J22" s="3">
        <f t="shared" ca="1" si="1"/>
        <v>-1032</v>
      </c>
      <c r="K22" s="4" t="str">
        <f t="shared" ca="1" si="2"/>
        <v>Overdue</v>
      </c>
    </row>
    <row r="23" spans="1:11" x14ac:dyDescent="0.2">
      <c r="A23" s="3" t="s">
        <v>8</v>
      </c>
      <c r="B23" s="3" t="s">
        <v>33</v>
      </c>
      <c r="C23" s="3" t="s">
        <v>64</v>
      </c>
      <c r="D23" s="4">
        <v>7</v>
      </c>
      <c r="E23" s="4">
        <v>8</v>
      </c>
      <c r="F23" s="4">
        <v>7</v>
      </c>
      <c r="G23" s="4" t="str">
        <f t="shared" si="0"/>
        <v>Fail</v>
      </c>
      <c r="H23" s="8">
        <v>45081</v>
      </c>
      <c r="I23" s="9">
        <v>45267</v>
      </c>
      <c r="J23" s="3">
        <f t="shared" ca="1" si="1"/>
        <v>-952</v>
      </c>
      <c r="K23" s="4" t="str">
        <f t="shared" ca="1" si="2"/>
        <v>Overdue</v>
      </c>
    </row>
    <row r="24" spans="1:11" x14ac:dyDescent="0.2">
      <c r="A24" s="3" t="s">
        <v>74</v>
      </c>
      <c r="B24" s="3" t="s">
        <v>47</v>
      </c>
      <c r="C24" s="3" t="s">
        <v>67</v>
      </c>
      <c r="D24" s="4">
        <v>7</v>
      </c>
      <c r="E24" s="4">
        <v>7</v>
      </c>
      <c r="F24" s="4">
        <v>8</v>
      </c>
      <c r="G24" s="4" t="str">
        <f t="shared" si="0"/>
        <v>Pass</v>
      </c>
      <c r="H24" s="8">
        <v>45068</v>
      </c>
      <c r="I24" s="9">
        <v>45254</v>
      </c>
      <c r="J24" s="3">
        <f t="shared" ca="1" si="1"/>
        <v>-965</v>
      </c>
      <c r="K24" s="4" t="str">
        <f t="shared" ca="1" si="2"/>
        <v>Overdue</v>
      </c>
    </row>
    <row r="25" spans="1:11" x14ac:dyDescent="0.2">
      <c r="A25" s="3" t="s">
        <v>19</v>
      </c>
      <c r="B25" s="3" t="s">
        <v>38</v>
      </c>
      <c r="C25" s="3" t="s">
        <v>67</v>
      </c>
      <c r="D25" s="4">
        <v>7</v>
      </c>
      <c r="E25" s="4">
        <v>9</v>
      </c>
      <c r="F25" s="4">
        <v>8</v>
      </c>
      <c r="G25" s="4" t="str">
        <f t="shared" si="0"/>
        <v>Pass</v>
      </c>
      <c r="H25" s="8">
        <v>45013</v>
      </c>
      <c r="I25" s="9">
        <v>45199</v>
      </c>
      <c r="J25" s="3">
        <f t="shared" ca="1" si="1"/>
        <v>-1020</v>
      </c>
      <c r="K25" s="4" t="str">
        <f t="shared" ca="1" si="2"/>
        <v>Overdue</v>
      </c>
    </row>
    <row r="26" spans="1:11" x14ac:dyDescent="0.2">
      <c r="A26" s="3" t="s">
        <v>9</v>
      </c>
      <c r="B26" s="3" t="s">
        <v>13</v>
      </c>
      <c r="C26" s="3" t="s">
        <v>64</v>
      </c>
      <c r="D26" s="4">
        <v>7</v>
      </c>
      <c r="E26" s="4">
        <v>4</v>
      </c>
      <c r="F26" s="4">
        <v>8</v>
      </c>
      <c r="G26" s="4" t="str">
        <f t="shared" si="0"/>
        <v>Fail</v>
      </c>
      <c r="H26" s="8">
        <v>45087</v>
      </c>
      <c r="I26" s="9">
        <v>45273</v>
      </c>
      <c r="J26" s="3">
        <f t="shared" ca="1" si="1"/>
        <v>-946</v>
      </c>
      <c r="K26" s="4" t="str">
        <f t="shared" ca="1" si="2"/>
        <v>Overdue</v>
      </c>
    </row>
    <row r="27" spans="1:11" x14ac:dyDescent="0.2">
      <c r="A27" s="3" t="s">
        <v>75</v>
      </c>
      <c r="B27" s="3" t="s">
        <v>29</v>
      </c>
      <c r="C27" s="3" t="s">
        <v>66</v>
      </c>
      <c r="D27" s="4">
        <v>8</v>
      </c>
      <c r="E27" s="4">
        <v>9</v>
      </c>
      <c r="F27" s="4">
        <v>9</v>
      </c>
      <c r="G27" s="4" t="str">
        <f t="shared" si="0"/>
        <v>Pass</v>
      </c>
      <c r="H27" s="8">
        <v>45099</v>
      </c>
      <c r="I27" s="9">
        <v>45285</v>
      </c>
      <c r="J27" s="3">
        <f t="shared" ca="1" si="1"/>
        <v>-934</v>
      </c>
      <c r="K27" s="4" t="str">
        <f t="shared" ca="1" si="2"/>
        <v>Overdue</v>
      </c>
    </row>
    <row r="28" spans="1:11" x14ac:dyDescent="0.2">
      <c r="A28" s="3" t="s">
        <v>21</v>
      </c>
      <c r="B28" s="3" t="s">
        <v>49</v>
      </c>
      <c r="C28" s="3" t="s">
        <v>65</v>
      </c>
      <c r="D28" s="4">
        <v>9</v>
      </c>
      <c r="E28" s="4">
        <v>8</v>
      </c>
      <c r="F28" s="4">
        <v>9</v>
      </c>
      <c r="G28" s="4" t="str">
        <f t="shared" si="0"/>
        <v>Pass</v>
      </c>
      <c r="H28" s="8">
        <v>44898</v>
      </c>
      <c r="I28" s="9">
        <v>45084</v>
      </c>
      <c r="J28" s="3">
        <f t="shared" ca="1" si="1"/>
        <v>-1135</v>
      </c>
      <c r="K28" s="4" t="str">
        <f t="shared" ca="1" si="2"/>
        <v>Overdue</v>
      </c>
    </row>
    <row r="29" spans="1:11" x14ac:dyDescent="0.2">
      <c r="A29" s="3" t="s">
        <v>85</v>
      </c>
      <c r="B29" s="3" t="s">
        <v>56</v>
      </c>
      <c r="C29" s="3" t="s">
        <v>66</v>
      </c>
      <c r="D29" s="4">
        <v>5</v>
      </c>
      <c r="E29" s="4">
        <v>8</v>
      </c>
      <c r="F29" s="4">
        <v>4</v>
      </c>
      <c r="G29" s="4" t="str">
        <f t="shared" si="0"/>
        <v>Fail</v>
      </c>
      <c r="H29" s="8">
        <v>45003</v>
      </c>
      <c r="I29" s="9">
        <v>45189</v>
      </c>
      <c r="J29" s="3">
        <f t="shared" ca="1" si="1"/>
        <v>-1030</v>
      </c>
      <c r="K29" s="4" t="str">
        <f t="shared" ca="1" si="2"/>
        <v>Overdue</v>
      </c>
    </row>
    <row r="30" spans="1:11" x14ac:dyDescent="0.2">
      <c r="A30" s="3" t="s">
        <v>86</v>
      </c>
      <c r="B30" s="3" t="s">
        <v>61</v>
      </c>
      <c r="C30" s="3" t="s">
        <v>65</v>
      </c>
      <c r="D30" s="4">
        <v>9</v>
      </c>
      <c r="E30" s="4">
        <v>8</v>
      </c>
      <c r="F30" s="4">
        <v>9</v>
      </c>
      <c r="G30" s="4" t="str">
        <f t="shared" si="0"/>
        <v>Pass</v>
      </c>
      <c r="H30" s="8">
        <v>44987</v>
      </c>
      <c r="I30" s="9">
        <v>45173</v>
      </c>
      <c r="J30" s="3">
        <f t="shared" ca="1" si="1"/>
        <v>-1046</v>
      </c>
      <c r="K30" s="4" t="str">
        <f t="shared" ca="1" si="2"/>
        <v>Overdue</v>
      </c>
    </row>
    <row r="31" spans="1:11" x14ac:dyDescent="0.2">
      <c r="A31" s="3" t="s">
        <v>94</v>
      </c>
      <c r="B31" s="3" t="s">
        <v>41</v>
      </c>
      <c r="C31" s="3" t="s">
        <v>67</v>
      </c>
      <c r="D31" s="4">
        <v>9</v>
      </c>
      <c r="E31" s="4">
        <v>9</v>
      </c>
      <c r="F31" s="4">
        <v>8</v>
      </c>
      <c r="G31" s="4" t="str">
        <f t="shared" si="0"/>
        <v>Pass</v>
      </c>
      <c r="H31" s="8">
        <v>45049</v>
      </c>
      <c r="I31" s="9">
        <v>45235</v>
      </c>
      <c r="J31" s="3">
        <f t="shared" ca="1" si="1"/>
        <v>-984</v>
      </c>
      <c r="K31" s="4" t="str">
        <f t="shared" ca="1" si="2"/>
        <v>Overdue</v>
      </c>
    </row>
    <row r="32" spans="1:11" x14ac:dyDescent="0.2">
      <c r="A32" s="3" t="s">
        <v>95</v>
      </c>
      <c r="B32" s="3" t="s">
        <v>12</v>
      </c>
      <c r="C32" s="3" t="s">
        <v>64</v>
      </c>
      <c r="D32" s="4">
        <v>6</v>
      </c>
      <c r="E32" s="4">
        <v>8</v>
      </c>
      <c r="F32" s="4">
        <v>7</v>
      </c>
      <c r="G32" s="4" t="str">
        <f t="shared" si="0"/>
        <v>Fail</v>
      </c>
      <c r="H32" s="8">
        <v>44965</v>
      </c>
      <c r="I32" s="9">
        <v>45151</v>
      </c>
      <c r="J32" s="3">
        <f t="shared" ca="1" si="1"/>
        <v>-1068</v>
      </c>
      <c r="K32" s="4" t="str">
        <f t="shared" ca="1" si="2"/>
        <v>Overdue</v>
      </c>
    </row>
    <row r="33" spans="1:11" x14ac:dyDescent="0.2">
      <c r="A33" s="3" t="s">
        <v>96</v>
      </c>
      <c r="B33" s="3" t="s">
        <v>39</v>
      </c>
      <c r="C33" s="3" t="s">
        <v>64</v>
      </c>
      <c r="D33" s="4">
        <v>7</v>
      </c>
      <c r="E33" s="4">
        <v>8</v>
      </c>
      <c r="F33" s="4">
        <v>9</v>
      </c>
      <c r="G33" s="4" t="str">
        <f t="shared" si="0"/>
        <v>Pass</v>
      </c>
      <c r="H33" s="8">
        <v>45119</v>
      </c>
      <c r="I33" s="9">
        <v>45305</v>
      </c>
      <c r="J33" s="3">
        <f t="shared" ca="1" si="1"/>
        <v>-914</v>
      </c>
      <c r="K33" s="4" t="str">
        <f t="shared" ca="1" si="2"/>
        <v>Overdue</v>
      </c>
    </row>
    <row r="34" spans="1:11" x14ac:dyDescent="0.2">
      <c r="A34" s="3" t="s">
        <v>69</v>
      </c>
      <c r="B34" s="3" t="s">
        <v>59</v>
      </c>
      <c r="C34" s="3" t="s">
        <v>64</v>
      </c>
      <c r="D34" s="4">
        <v>6</v>
      </c>
      <c r="E34" s="4">
        <v>6</v>
      </c>
      <c r="F34" s="4">
        <v>6</v>
      </c>
      <c r="G34" s="4" t="str">
        <f t="shared" si="0"/>
        <v>Fail</v>
      </c>
      <c r="H34" s="8">
        <v>45056</v>
      </c>
      <c r="I34" s="9">
        <v>45242</v>
      </c>
      <c r="J34" s="3">
        <f t="shared" ca="1" si="1"/>
        <v>-977</v>
      </c>
      <c r="K34" s="4" t="str">
        <f t="shared" ca="1" si="2"/>
        <v>Overdue</v>
      </c>
    </row>
    <row r="35" spans="1:11" x14ac:dyDescent="0.2">
      <c r="A35" s="3" t="s">
        <v>76</v>
      </c>
      <c r="B35" s="3" t="s">
        <v>48</v>
      </c>
      <c r="C35" s="3" t="s">
        <v>64</v>
      </c>
      <c r="D35" s="4">
        <v>7</v>
      </c>
      <c r="E35" s="4">
        <v>8</v>
      </c>
      <c r="F35" s="4">
        <v>8</v>
      </c>
      <c r="G35" s="4" t="str">
        <f t="shared" si="0"/>
        <v>Pass</v>
      </c>
      <c r="H35" s="8">
        <v>45029</v>
      </c>
      <c r="I35" s="9">
        <v>45215</v>
      </c>
      <c r="J35" s="3">
        <f t="shared" ca="1" si="1"/>
        <v>-1004</v>
      </c>
      <c r="K35" s="4" t="str">
        <f t="shared" ca="1" si="2"/>
        <v>Overdue</v>
      </c>
    </row>
    <row r="36" spans="1:11" x14ac:dyDescent="0.2">
      <c r="A36" s="3" t="s">
        <v>97</v>
      </c>
      <c r="B36" s="3" t="s">
        <v>25</v>
      </c>
      <c r="C36" s="3" t="s">
        <v>65</v>
      </c>
      <c r="D36" s="4">
        <v>8</v>
      </c>
      <c r="E36" s="4">
        <v>6</v>
      </c>
      <c r="F36" s="4">
        <v>8</v>
      </c>
      <c r="G36" s="4" t="str">
        <f t="shared" si="0"/>
        <v>Fail</v>
      </c>
      <c r="H36" s="8">
        <v>45061</v>
      </c>
      <c r="I36" s="9">
        <v>45247</v>
      </c>
      <c r="J36" s="3">
        <f t="shared" ca="1" si="1"/>
        <v>-972</v>
      </c>
      <c r="K36" s="4" t="str">
        <f t="shared" ca="1" si="2"/>
        <v>Overdue</v>
      </c>
    </row>
    <row r="37" spans="1:11" x14ac:dyDescent="0.2">
      <c r="A37" s="3" t="s">
        <v>77</v>
      </c>
      <c r="B37" s="3" t="s">
        <v>36</v>
      </c>
      <c r="C37" s="3" t="s">
        <v>66</v>
      </c>
      <c r="D37" s="4">
        <v>5</v>
      </c>
      <c r="E37" s="4">
        <v>7</v>
      </c>
      <c r="F37" s="4">
        <v>7</v>
      </c>
      <c r="G37" s="4" t="str">
        <f t="shared" si="0"/>
        <v>Fail</v>
      </c>
      <c r="H37" s="8">
        <v>44942</v>
      </c>
      <c r="I37" s="9">
        <v>45128</v>
      </c>
      <c r="J37" s="3">
        <f t="shared" ca="1" si="1"/>
        <v>-1091</v>
      </c>
      <c r="K37" s="4" t="str">
        <f t="shared" ca="1" si="2"/>
        <v>Overdue</v>
      </c>
    </row>
    <row r="38" spans="1:11" x14ac:dyDescent="0.2">
      <c r="A38" s="3" t="s">
        <v>10</v>
      </c>
      <c r="B38" s="3" t="s">
        <v>34</v>
      </c>
      <c r="C38" s="3" t="s">
        <v>64</v>
      </c>
      <c r="D38" s="4">
        <v>8</v>
      </c>
      <c r="E38" s="4">
        <v>8</v>
      </c>
      <c r="F38" s="4">
        <v>8</v>
      </c>
      <c r="G38" s="4" t="str">
        <f t="shared" si="0"/>
        <v>Pass</v>
      </c>
      <c r="H38" s="8">
        <v>44958</v>
      </c>
      <c r="I38" s="9">
        <v>45144</v>
      </c>
      <c r="J38" s="3">
        <f t="shared" ca="1" si="1"/>
        <v>-1075</v>
      </c>
      <c r="K38" s="4" t="str">
        <f t="shared" ca="1" si="2"/>
        <v>Overdue</v>
      </c>
    </row>
    <row r="39" spans="1:11" x14ac:dyDescent="0.2">
      <c r="A39" s="3" t="s">
        <v>11</v>
      </c>
      <c r="B39" s="3" t="s">
        <v>27</v>
      </c>
      <c r="C39" s="3" t="s">
        <v>67</v>
      </c>
      <c r="D39" s="4">
        <v>8</v>
      </c>
      <c r="E39" s="4">
        <v>8</v>
      </c>
      <c r="F39" s="4">
        <v>6</v>
      </c>
      <c r="G39" s="4" t="str">
        <f t="shared" si="0"/>
        <v>Fail</v>
      </c>
      <c r="H39" s="8">
        <v>44929</v>
      </c>
      <c r="I39" s="9">
        <v>45115</v>
      </c>
      <c r="J39" s="3">
        <f t="shared" ca="1" si="1"/>
        <v>-1104</v>
      </c>
      <c r="K39" s="4" t="str">
        <f t="shared" ca="1" si="2"/>
        <v>Overdue</v>
      </c>
    </row>
    <row r="40" spans="1:11" x14ac:dyDescent="0.2">
      <c r="A40" s="3" t="s">
        <v>7</v>
      </c>
      <c r="B40" s="3" t="s">
        <v>32</v>
      </c>
      <c r="C40" s="3" t="s">
        <v>67</v>
      </c>
      <c r="D40" s="4">
        <v>9</v>
      </c>
      <c r="E40" s="4">
        <v>8</v>
      </c>
      <c r="F40" s="4">
        <v>8</v>
      </c>
      <c r="G40" s="4" t="str">
        <f t="shared" si="0"/>
        <v>Pass</v>
      </c>
      <c r="H40" s="8">
        <v>45047</v>
      </c>
      <c r="I40" s="9">
        <v>45233</v>
      </c>
      <c r="J40" s="3">
        <f t="shared" ca="1" si="1"/>
        <v>-986</v>
      </c>
      <c r="K40" s="4" t="str">
        <f t="shared" ca="1" si="2"/>
        <v>Overdue</v>
      </c>
    </row>
    <row r="41" spans="1:11" x14ac:dyDescent="0.2">
      <c r="A41" s="3" t="s">
        <v>81</v>
      </c>
      <c r="B41" s="3" t="s">
        <v>14</v>
      </c>
      <c r="C41" s="3" t="s">
        <v>67</v>
      </c>
      <c r="D41" s="4">
        <v>8</v>
      </c>
      <c r="E41" s="4">
        <v>9</v>
      </c>
      <c r="F41" s="4">
        <v>7</v>
      </c>
      <c r="G41" s="4" t="str">
        <f t="shared" si="0"/>
        <v>Fail</v>
      </c>
      <c r="H41" s="8">
        <v>45093</v>
      </c>
      <c r="I41" s="9">
        <v>45279</v>
      </c>
      <c r="J41" s="3">
        <f t="shared" ca="1" si="1"/>
        <v>-940</v>
      </c>
      <c r="K41" s="4" t="str">
        <f t="shared" ca="1" si="2"/>
        <v>Overdue</v>
      </c>
    </row>
    <row r="42" spans="1:11" x14ac:dyDescent="0.2">
      <c r="A42" s="3" t="s">
        <v>82</v>
      </c>
      <c r="B42" s="3" t="s">
        <v>16</v>
      </c>
      <c r="C42" s="3" t="s">
        <v>65</v>
      </c>
      <c r="D42" s="4">
        <v>8</v>
      </c>
      <c r="E42" s="4">
        <v>9</v>
      </c>
      <c r="F42" s="4">
        <v>8</v>
      </c>
      <c r="G42" s="4" t="str">
        <f t="shared" si="0"/>
        <v>Pass</v>
      </c>
      <c r="H42" s="8">
        <v>45014</v>
      </c>
      <c r="I42" s="9">
        <v>45200</v>
      </c>
      <c r="J42" s="3">
        <f t="shared" ca="1" si="1"/>
        <v>-1019</v>
      </c>
      <c r="K42" s="4" t="str">
        <f t="shared" ca="1" si="2"/>
        <v>Overdue</v>
      </c>
    </row>
    <row r="43" spans="1:11" x14ac:dyDescent="0.2">
      <c r="A43" s="3" t="s">
        <v>83</v>
      </c>
      <c r="B43" s="3" t="s">
        <v>17</v>
      </c>
      <c r="C43" s="3" t="s">
        <v>65</v>
      </c>
      <c r="D43" s="4">
        <v>7</v>
      </c>
      <c r="E43" s="4">
        <v>8</v>
      </c>
      <c r="F43" s="4">
        <v>9</v>
      </c>
      <c r="G43" s="4" t="str">
        <f t="shared" si="0"/>
        <v>Pass</v>
      </c>
      <c r="H43" s="8">
        <v>45029</v>
      </c>
      <c r="I43" s="9">
        <v>45215</v>
      </c>
      <c r="J43" s="3">
        <f t="shared" ca="1" si="1"/>
        <v>-1004</v>
      </c>
      <c r="K43" s="4" t="str">
        <f t="shared" ca="1" si="2"/>
        <v>Overdue</v>
      </c>
    </row>
    <row r="44" spans="1:11" x14ac:dyDescent="0.2">
      <c r="A44" s="3" t="s">
        <v>84</v>
      </c>
      <c r="B44" s="3" t="s">
        <v>40</v>
      </c>
      <c r="C44" s="3" t="s">
        <v>66</v>
      </c>
      <c r="D44" s="4">
        <v>6</v>
      </c>
      <c r="E44" s="4">
        <v>4</v>
      </c>
      <c r="F44" s="4">
        <v>7</v>
      </c>
      <c r="G44" s="4" t="str">
        <f t="shared" si="0"/>
        <v>Fail</v>
      </c>
      <c r="H44" s="8">
        <v>45116</v>
      </c>
      <c r="I44" s="9">
        <v>45302</v>
      </c>
      <c r="J44" s="3">
        <f t="shared" ca="1" si="1"/>
        <v>-917</v>
      </c>
      <c r="K44" s="4" t="str">
        <f t="shared" ca="1" si="2"/>
        <v>Overdue</v>
      </c>
    </row>
  </sheetData>
  <sortState xmlns:xlrd2="http://schemas.microsoft.com/office/spreadsheetml/2017/richdata2" ref="A4:K44">
    <sortCondition ref="A26"/>
  </sortState>
  <conditionalFormatting sqref="K4:K44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Playground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Olasunkanmi Olatunde</cp:lastModifiedBy>
  <dcterms:created xsi:type="dcterms:W3CDTF">2018-02-26T16:29:15Z</dcterms:created>
  <dcterms:modified xsi:type="dcterms:W3CDTF">2026-07-17T09:47:35Z</dcterms:modified>
</cp:coreProperties>
</file>